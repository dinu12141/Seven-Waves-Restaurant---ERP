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7Waves 2026-Year Official\FInance System\"/>
    </mc:Choice>
  </mc:AlternateContent>
  <xr:revisionPtr revIDLastSave="0" documentId="8_{B003D9E1-4938-45D0-865D-7E6C90BD4A9A}" xr6:coauthVersionLast="47" xr6:coauthVersionMax="47" xr10:uidLastSave="{00000000-0000-0000-0000-000000000000}"/>
  <bookViews>
    <workbookView xWindow="-120" yWindow="-120" windowWidth="29040" windowHeight="15720" activeTab="2" xr2:uid="{A71C245F-82BC-4F61-9433-647FCCC38996}"/>
  </bookViews>
  <sheets>
    <sheet name="Drafted CA" sheetId="1" r:id="rId1"/>
    <sheet name="BALANCE SHEET " sheetId="2" r:id="rId2"/>
    <sheet name="PROFIT AND LOSS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C14" i="2"/>
  <c r="C89" i="3"/>
  <c r="C87" i="3"/>
  <c r="C78" i="3"/>
  <c r="C70" i="3"/>
  <c r="C86" i="3"/>
  <c r="C85" i="3"/>
  <c r="C13" i="3"/>
  <c r="C14" i="3"/>
  <c r="C21" i="3"/>
  <c r="C22" i="3"/>
  <c r="C58" i="2"/>
  <c r="C57" i="2"/>
  <c r="C43" i="2"/>
  <c r="C47" i="2"/>
  <c r="B41" i="2"/>
  <c r="B42" i="2"/>
  <c r="C35" i="2"/>
  <c r="C36" i="2"/>
  <c r="R111" i="1"/>
</calcChain>
</file>

<file path=xl/sharedStrings.xml><?xml version="1.0" encoding="utf-8"?>
<sst xmlns="http://schemas.openxmlformats.org/spreadsheetml/2006/main" count="365" uniqueCount="164">
  <si>
    <t xml:space="preserve">SEVEN WAVES RESTURANT (PVT)LTD </t>
  </si>
  <si>
    <t>CHART OF ACCOUNTS</t>
  </si>
  <si>
    <t xml:space="preserve">DRAFTED </t>
  </si>
  <si>
    <t xml:space="preserve">NUMBER </t>
  </si>
  <si>
    <t xml:space="preserve">ACCOUNT NAME </t>
  </si>
  <si>
    <t xml:space="preserve">ACCOUNT TYPE </t>
  </si>
  <si>
    <t xml:space="preserve">Main Cash </t>
  </si>
  <si>
    <t>10001-1</t>
  </si>
  <si>
    <t xml:space="preserve">Petty Cash -HR </t>
  </si>
  <si>
    <t xml:space="preserve">Assets-Current </t>
  </si>
  <si>
    <t>1002-1</t>
  </si>
  <si>
    <t>1002-2</t>
  </si>
  <si>
    <t>1002-3</t>
  </si>
  <si>
    <t>1002-4</t>
  </si>
  <si>
    <t xml:space="preserve">Bank </t>
  </si>
  <si>
    <t>Commercial -1000725139</t>
  </si>
  <si>
    <t>NTB -0000224022</t>
  </si>
  <si>
    <t>NDB-10003.41537</t>
  </si>
  <si>
    <t>HNB -0010160698</t>
  </si>
  <si>
    <t>1002-5</t>
  </si>
  <si>
    <t>People;s-003932200</t>
  </si>
  <si>
    <t xml:space="preserve">Accounts Recieverble </t>
  </si>
  <si>
    <t xml:space="preserve">Prepaid Expenses </t>
  </si>
  <si>
    <t xml:space="preserve">Land </t>
  </si>
  <si>
    <t xml:space="preserve">Building </t>
  </si>
  <si>
    <t xml:space="preserve">Kitchen Equipents </t>
  </si>
  <si>
    <t xml:space="preserve">Furniture And Fixtures </t>
  </si>
  <si>
    <t xml:space="preserve">POS &amp; Computer Equipments </t>
  </si>
  <si>
    <t xml:space="preserve">Vehicles </t>
  </si>
  <si>
    <t xml:space="preserve">Lease hold Improvements </t>
  </si>
  <si>
    <t xml:space="preserve">Assets-Non Current </t>
  </si>
  <si>
    <t xml:space="preserve">Accumulated Depreciation </t>
  </si>
  <si>
    <t xml:space="preserve">Accounts Payables </t>
  </si>
  <si>
    <t xml:space="preserve">Accured Expenses </t>
  </si>
  <si>
    <t>10001-2</t>
  </si>
  <si>
    <t xml:space="preserve">Change Fund </t>
  </si>
  <si>
    <t xml:space="preserve">Staff Recieverble </t>
  </si>
  <si>
    <t>Assets-Current (Other Recieverble)</t>
  </si>
  <si>
    <t xml:space="preserve">Input VAT-Recoverable </t>
  </si>
  <si>
    <t xml:space="preserve">Inventory -Raw Materials </t>
  </si>
  <si>
    <t xml:space="preserve">Inventory -Beverages Stock </t>
  </si>
  <si>
    <t>Inventory -  cutlery</t>
  </si>
  <si>
    <t>Inventory - Packaging Materials</t>
  </si>
  <si>
    <t>Inventory - Cleaning Materials</t>
  </si>
  <si>
    <t xml:space="preserve">Current Liabilities </t>
  </si>
  <si>
    <t xml:space="preserve">Salary payables </t>
  </si>
  <si>
    <t>EPF Payable</t>
  </si>
  <si>
    <t>Current Liabilities</t>
  </si>
  <si>
    <t>ETF Payable</t>
  </si>
  <si>
    <t>PAYE Payable</t>
  </si>
  <si>
    <t>Output VAT Payable</t>
  </si>
  <si>
    <t>Corporate Tax Payable</t>
  </si>
  <si>
    <t>Bank Loan</t>
  </si>
  <si>
    <t>Non Current Liabilities</t>
  </si>
  <si>
    <t>Finance Lease Liability</t>
  </si>
  <si>
    <t>Restaurant Food Sales</t>
  </si>
  <si>
    <t>Function Hall Revenue</t>
  </si>
  <si>
    <t>VIP Lounge Revenue</t>
  </si>
  <si>
    <t>Service Charge Income</t>
  </si>
  <si>
    <t>Delivery Income</t>
  </si>
  <si>
    <t>Pick me/uber</t>
  </si>
  <si>
    <t>Other Operating Income</t>
  </si>
  <si>
    <t>Event Revenue</t>
  </si>
  <si>
    <t>Other Revenue</t>
  </si>
  <si>
    <t>Revenue</t>
  </si>
  <si>
    <t>Supplier Discount Received</t>
  </si>
  <si>
    <t>Food Cost</t>
  </si>
  <si>
    <t>Cost of Sales</t>
  </si>
  <si>
    <t>Packaging Cost</t>
  </si>
  <si>
    <t>Kitchen Consumables Used</t>
  </si>
  <si>
    <t>Kitchen Wastage</t>
  </si>
  <si>
    <t>Inventory Adjustment</t>
  </si>
  <si>
    <t>Complimentary Food Cost</t>
  </si>
  <si>
    <t>Promotions</t>
  </si>
  <si>
    <t>Admin and Operation Expenses</t>
  </si>
  <si>
    <t xml:space="preserve">Salaries and Wages </t>
  </si>
  <si>
    <t xml:space="preserve">Overtime </t>
  </si>
  <si>
    <t xml:space="preserve">Service Charge Distribution </t>
  </si>
  <si>
    <t xml:space="preserve">EPF Employer </t>
  </si>
  <si>
    <t xml:space="preserve">ETF Employer </t>
  </si>
  <si>
    <t xml:space="preserve">Staff welfare </t>
  </si>
  <si>
    <t xml:space="preserve">Staff Uniform Expenses </t>
  </si>
  <si>
    <t>Director Allowance / Remuneration</t>
  </si>
  <si>
    <t>Staff Training Expense</t>
  </si>
  <si>
    <t>Electricity Expense</t>
  </si>
  <si>
    <t>Water Expense</t>
  </si>
  <si>
    <t>Gas Expense</t>
  </si>
  <si>
    <t>Telephone Expense</t>
  </si>
  <si>
    <t>Internet Expense</t>
  </si>
  <si>
    <t>Generator Fuel</t>
  </si>
  <si>
    <t>Waste Water / Sewer Charges</t>
  </si>
  <si>
    <t>Rent Expense</t>
  </si>
  <si>
    <t>Laundry Expense</t>
  </si>
  <si>
    <t>Kitchen Equipment Repairs</t>
  </si>
  <si>
    <t>Equipment Maintenance</t>
  </si>
  <si>
    <t>Pest Control</t>
  </si>
  <si>
    <t>Security Expense</t>
  </si>
  <si>
    <t>Waste Disposal</t>
  </si>
  <si>
    <t>Music License Fees</t>
  </si>
  <si>
    <t>Decorations Expense</t>
  </si>
  <si>
    <t>Small Equipment Expense</t>
  </si>
  <si>
    <t>Crockery &amp; Glassware Breakage</t>
  </si>
  <si>
    <t>Printing Expense</t>
  </si>
  <si>
    <t>Stationery Expense</t>
  </si>
  <si>
    <t>Software Subscription</t>
  </si>
  <si>
    <t>ERP Maintenance</t>
  </si>
  <si>
    <t>Office Supplies</t>
  </si>
  <si>
    <t>Professional Fees</t>
  </si>
  <si>
    <t>Audit Fees</t>
  </si>
  <si>
    <t>Legal Fees</t>
  </si>
  <si>
    <t>Environmental Authority Fees</t>
  </si>
  <si>
    <t>Licenses &amp; Permits</t>
  </si>
  <si>
    <t xml:space="preserve">Fuel Expenses </t>
  </si>
  <si>
    <t>Advertising Expense</t>
  </si>
  <si>
    <t>Facebook Marketing</t>
  </si>
  <si>
    <t>Google Ads</t>
  </si>
  <si>
    <t>Printing &amp; Banners</t>
  </si>
  <si>
    <t>Bank Charges</t>
  </si>
  <si>
    <t xml:space="preserve">Selling and Distribution </t>
  </si>
  <si>
    <t>Interest Expense</t>
  </si>
  <si>
    <t>Loan Processing Charges</t>
  </si>
  <si>
    <t xml:space="preserve">Depreciation Expenses </t>
  </si>
  <si>
    <t>Vat Expense</t>
  </si>
  <si>
    <t xml:space="preserve">Insurance Expenses </t>
  </si>
  <si>
    <t>Miscellaneous Expense</t>
  </si>
  <si>
    <t>Finance Expenses</t>
  </si>
  <si>
    <t xml:space="preserve">Travelling Expenses </t>
  </si>
  <si>
    <t xml:space="preserve">Other Expenses </t>
  </si>
  <si>
    <t xml:space="preserve">Donations </t>
  </si>
  <si>
    <t xml:space="preserve">Bad Debts </t>
  </si>
  <si>
    <t xml:space="preserve">Coperate Income tax </t>
  </si>
  <si>
    <t xml:space="preserve">Supplier Advances </t>
  </si>
  <si>
    <t xml:space="preserve">Other Recieverble </t>
  </si>
  <si>
    <t xml:space="preserve">STATEMENT OF FINANCIAL POSITION </t>
  </si>
  <si>
    <t>AS AT 31.10.2026</t>
  </si>
  <si>
    <t>ASSETS</t>
  </si>
  <si>
    <t xml:space="preserve">NON-CURRENT ASSETS </t>
  </si>
  <si>
    <t xml:space="preserve">CURRENT ASSESTS </t>
  </si>
  <si>
    <t xml:space="preserve">TOTAL ASSTES </t>
  </si>
  <si>
    <t xml:space="preserve">EQUITY  AND LIABILITIES </t>
  </si>
  <si>
    <t>EQUITTY</t>
  </si>
  <si>
    <t>STATED CAPITAL</t>
  </si>
  <si>
    <t xml:space="preserve">NET PROFIT </t>
  </si>
  <si>
    <t xml:space="preserve">DIRECTOR DRAWINGS </t>
  </si>
  <si>
    <t xml:space="preserve">NON CURRENT LIABILITIES </t>
  </si>
  <si>
    <t xml:space="preserve">CURRENT LIABILITIES </t>
  </si>
  <si>
    <t xml:space="preserve">TOTAL EQUITY AND LIABILITIES </t>
  </si>
  <si>
    <t xml:space="preserve">SEVEN WAVE RESTURANT (PVT)LTD </t>
  </si>
  <si>
    <t>STATEMENT OF PROFIT AND LOSS</t>
  </si>
  <si>
    <t>FOR THE PERIOD OF 01.10.2026 TO 31.10.2026</t>
  </si>
  <si>
    <t xml:space="preserve">REVENUE </t>
  </si>
  <si>
    <t xml:space="preserve">OTHER INCOME </t>
  </si>
  <si>
    <t xml:space="preserve">TOTAL INCOME </t>
  </si>
  <si>
    <t>COST OF SOLD (COGS)</t>
  </si>
  <si>
    <t xml:space="preserve">GROSS PROFIT </t>
  </si>
  <si>
    <t xml:space="preserve">EXPENSES </t>
  </si>
  <si>
    <t xml:space="preserve">ADMIN AND OPERATION EXPENSES </t>
  </si>
  <si>
    <t xml:space="preserve">SELLING AND DISTRIBUTION  EXPENSES </t>
  </si>
  <si>
    <t xml:space="preserve">FINANCE AND OTHER EXPENSES </t>
  </si>
  <si>
    <t xml:space="preserve">NET PROFIT BEFORE TAX </t>
  </si>
  <si>
    <t xml:space="preserve">TAX </t>
  </si>
  <si>
    <t xml:space="preserve">TOTAL ADMIN AND OPERATION EXPENSES </t>
  </si>
  <si>
    <t xml:space="preserve">TOTAL SELLING AND DISTRIBUTION </t>
  </si>
  <si>
    <t xml:space="preserve">TOTAL FINANCE AND OTHER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</si>
</sst>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>
      <alignment vertical="top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43" fontId="5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/>
    </xf>
    <xf numFmtId="0" fontId="0" fillId="0" borderId="2" xfId="0" applyBorder="1"/>
    <xf numFmtId="0" fontId="2" fillId="4" borderId="0" xfId="0" applyFont="1" applyFill="1"/>
    <xf numFmtId="0" fontId="0" fillId="0" borderId="0" xfId="0" applyFont="1"/>
    <xf numFmtId="0" fontId="0" fillId="0" borderId="0" xfId="0"/>
    <xf numFmtId="43" fontId="0" fillId="0" borderId="0" xfId="1" applyFont="1"/>
    <xf numFmtId="43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3" xfId="1" applyFont="1" applyBorder="1"/>
    <xf numFmtId="43" fontId="0" fillId="0" borderId="3" xfId="1" applyFont="1" applyBorder="1" applyAlignment="1">
      <alignment vertical="center" wrapText="1"/>
    </xf>
    <xf numFmtId="43" fontId="2" fillId="0" borderId="1" xfId="0" applyNumberFormat="1" applyFont="1" applyBorder="1"/>
    <xf numFmtId="0" fontId="2" fillId="0" borderId="1" xfId="0" applyFont="1" applyFill="1" applyBorder="1"/>
    <xf numFmtId="0" fontId="8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43" fontId="0" fillId="0" borderId="1" xfId="0" applyNumberFormat="1" applyFont="1" applyBorder="1"/>
    <xf numFmtId="0" fontId="0" fillId="0" borderId="2" xfId="0" applyFont="1" applyBorder="1"/>
    <xf numFmtId="43" fontId="2" fillId="0" borderId="4" xfId="0" applyNumberFormat="1" applyFont="1" applyBorder="1"/>
    <xf numFmtId="0" fontId="2" fillId="0" borderId="1" xfId="0" applyFont="1" applyBorder="1" applyAlignment="1">
      <alignment vertical="center" wrapText="1"/>
    </xf>
    <xf numFmtId="43" fontId="2" fillId="0" borderId="0" xfId="1" applyFont="1"/>
    <xf numFmtId="43" fontId="2" fillId="2" borderId="0" xfId="1" applyFont="1" applyFill="1"/>
    <xf numFmtId="43" fontId="0" fillId="0" borderId="2" xfId="1" applyFont="1" applyBorder="1"/>
    <xf numFmtId="43" fontId="2" fillId="0" borderId="1" xfId="1" applyFont="1" applyBorder="1"/>
    <xf numFmtId="43" fontId="0" fillId="2" borderId="0" xfId="1" applyFont="1" applyFill="1"/>
    <xf numFmtId="43" fontId="2" fillId="0" borderId="2" xfId="1" applyFont="1" applyBorder="1"/>
    <xf numFmtId="43" fontId="2" fillId="0" borderId="4" xfId="1" applyFont="1" applyBorder="1"/>
    <xf numFmtId="43" fontId="2" fillId="0" borderId="5" xfId="1" applyFont="1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0" fontId="2" fillId="2" borderId="0" xfId="0" applyFont="1" applyFill="1"/>
  </cellXfs>
  <cellStyles count="13">
    <cellStyle name="Comma" xfId="1" builtinId="3"/>
    <cellStyle name="Comma 10" xfId="2" xr:uid="{1FFD54A5-B81D-4E0A-8530-C0D507AB1F83}"/>
    <cellStyle name="Comma 100" xfId="12" xr:uid="{078A53D5-2312-4DF9-82A3-594894607876}"/>
    <cellStyle name="Comma 2" xfId="4" xr:uid="{B58B4420-4F14-4460-9CB8-2C113A2624A9}"/>
    <cellStyle name="Comma 2 10" xfId="5" xr:uid="{3167DBA6-F7D5-4DD9-9F15-B17434F726C6}"/>
    <cellStyle name="Comma 3" xfId="6" xr:uid="{2C127679-6A4E-4ECF-A764-1ED7EE3B0A0D}"/>
    <cellStyle name="Comma 6 2 2" xfId="7" xr:uid="{33F0A073-3D9A-4FC6-BA64-42016CFB9203}"/>
    <cellStyle name="Normal" xfId="0" builtinId="0"/>
    <cellStyle name="Normal 2" xfId="3" xr:uid="{138283D5-B9A6-4894-BED2-C1FC32A42235}"/>
    <cellStyle name="Normal 2 10" xfId="8" xr:uid="{CCB04756-7992-4283-B3DE-084DDBCBF91B}"/>
    <cellStyle name="Normal 2 2 2" xfId="9" xr:uid="{4602F438-D209-4E81-A431-9B9E0D5C925A}"/>
    <cellStyle name="Normal 3" xfId="11" xr:uid="{19A4BD25-34CA-4C86-A072-5505B69FDDBD}"/>
    <cellStyle name="Normal 3 2" xfId="10" xr:uid="{82887B5A-1646-434E-BEF2-0FBE29804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91E8-9986-4728-B388-73F0C35AC7E5}">
  <dimension ref="A2:R124"/>
  <sheetViews>
    <sheetView topLeftCell="A73" workbookViewId="0">
      <selection activeCell="D22" sqref="D22"/>
    </sheetView>
  </sheetViews>
  <sheetFormatPr defaultRowHeight="15" x14ac:dyDescent="0.25"/>
  <cols>
    <col min="1" max="1" width="12.140625" customWidth="1"/>
    <col min="2" max="2" width="29.28515625" customWidth="1"/>
    <col min="3" max="3" width="34" customWidth="1"/>
    <col min="4" max="4" width="12.7109375" customWidth="1"/>
  </cols>
  <sheetData>
    <row r="2" spans="1:10" x14ac:dyDescent="0.25">
      <c r="B2" s="14" t="s">
        <v>0</v>
      </c>
      <c r="C2" s="14"/>
      <c r="D2" s="1"/>
      <c r="E2" s="1"/>
    </row>
    <row r="3" spans="1:10" x14ac:dyDescent="0.25">
      <c r="B3" s="14" t="s">
        <v>1</v>
      </c>
      <c r="C3" s="14" t="s">
        <v>2</v>
      </c>
      <c r="D3" s="1"/>
      <c r="J3" s="5"/>
    </row>
    <row r="4" spans="1:10" x14ac:dyDescent="0.25">
      <c r="A4" s="2" t="s">
        <v>3</v>
      </c>
      <c r="B4" s="2" t="s">
        <v>4</v>
      </c>
      <c r="C4" s="2" t="s">
        <v>5</v>
      </c>
    </row>
    <row r="5" spans="1:10" x14ac:dyDescent="0.25">
      <c r="A5" s="6">
        <v>1001</v>
      </c>
      <c r="B5" s="3" t="s">
        <v>6</v>
      </c>
      <c r="C5" s="3" t="s">
        <v>9</v>
      </c>
    </row>
    <row r="6" spans="1:10" x14ac:dyDescent="0.25">
      <c r="A6" s="4" t="s">
        <v>7</v>
      </c>
      <c r="B6" s="3" t="s">
        <v>8</v>
      </c>
      <c r="C6" s="3" t="s">
        <v>9</v>
      </c>
    </row>
    <row r="7" spans="1:10" x14ac:dyDescent="0.25">
      <c r="A7" s="4" t="s">
        <v>34</v>
      </c>
      <c r="B7" s="3" t="s">
        <v>35</v>
      </c>
      <c r="C7" s="3" t="s">
        <v>9</v>
      </c>
    </row>
    <row r="8" spans="1:10" x14ac:dyDescent="0.25">
      <c r="A8" s="7">
        <v>1002</v>
      </c>
      <c r="B8" s="3" t="s">
        <v>14</v>
      </c>
      <c r="C8" s="3" t="s">
        <v>9</v>
      </c>
    </row>
    <row r="9" spans="1:10" x14ac:dyDescent="0.25">
      <c r="A9" s="3" t="s">
        <v>10</v>
      </c>
      <c r="B9" s="3" t="s">
        <v>15</v>
      </c>
      <c r="C9" s="3" t="s">
        <v>9</v>
      </c>
    </row>
    <row r="10" spans="1:10" x14ac:dyDescent="0.25">
      <c r="A10" s="3" t="s">
        <v>11</v>
      </c>
      <c r="B10" s="3" t="s">
        <v>16</v>
      </c>
      <c r="C10" s="3" t="s">
        <v>9</v>
      </c>
    </row>
    <row r="11" spans="1:10" x14ac:dyDescent="0.25">
      <c r="A11" s="3" t="s">
        <v>12</v>
      </c>
      <c r="B11" s="3" t="s">
        <v>17</v>
      </c>
      <c r="C11" s="3" t="s">
        <v>9</v>
      </c>
    </row>
    <row r="12" spans="1:10" x14ac:dyDescent="0.25">
      <c r="A12" s="3" t="s">
        <v>13</v>
      </c>
      <c r="B12" s="3" t="s">
        <v>18</v>
      </c>
      <c r="C12" s="3" t="s">
        <v>9</v>
      </c>
    </row>
    <row r="13" spans="1:10" x14ac:dyDescent="0.25">
      <c r="A13" s="3" t="s">
        <v>19</v>
      </c>
      <c r="B13" s="3" t="s">
        <v>20</v>
      </c>
      <c r="C13" s="3" t="s">
        <v>9</v>
      </c>
    </row>
    <row r="14" spans="1:10" x14ac:dyDescent="0.25">
      <c r="A14" s="9">
        <v>1003</v>
      </c>
      <c r="B14" s="3" t="s">
        <v>21</v>
      </c>
      <c r="C14" s="3" t="s">
        <v>9</v>
      </c>
    </row>
    <row r="15" spans="1:10" x14ac:dyDescent="0.25">
      <c r="A15" s="9">
        <v>1004</v>
      </c>
      <c r="B15" s="3" t="s">
        <v>36</v>
      </c>
      <c r="C15" s="3" t="s">
        <v>37</v>
      </c>
    </row>
    <row r="16" spans="1:10" x14ac:dyDescent="0.25">
      <c r="A16" s="9">
        <v>1005</v>
      </c>
      <c r="B16" s="3" t="s">
        <v>39</v>
      </c>
      <c r="C16" s="3" t="s">
        <v>9</v>
      </c>
    </row>
    <row r="17" spans="1:3" x14ac:dyDescent="0.25">
      <c r="A17" s="9">
        <v>1006</v>
      </c>
      <c r="B17" s="3" t="s">
        <v>40</v>
      </c>
      <c r="C17" s="3" t="s">
        <v>9</v>
      </c>
    </row>
    <row r="18" spans="1:3" x14ac:dyDescent="0.25">
      <c r="A18" s="9">
        <v>1007</v>
      </c>
      <c r="B18" s="11" t="s">
        <v>41</v>
      </c>
      <c r="C18" s="3" t="s">
        <v>9</v>
      </c>
    </row>
    <row r="19" spans="1:3" x14ac:dyDescent="0.25">
      <c r="A19" s="9">
        <v>1008</v>
      </c>
      <c r="B19" s="11" t="s">
        <v>42</v>
      </c>
      <c r="C19" s="3" t="s">
        <v>9</v>
      </c>
    </row>
    <row r="20" spans="1:3" x14ac:dyDescent="0.25">
      <c r="A20" s="9">
        <v>1009</v>
      </c>
      <c r="B20" s="11" t="s">
        <v>43</v>
      </c>
      <c r="C20" s="3" t="s">
        <v>9</v>
      </c>
    </row>
    <row r="21" spans="1:3" x14ac:dyDescent="0.25">
      <c r="A21" s="9">
        <v>1010</v>
      </c>
      <c r="B21" s="3" t="s">
        <v>38</v>
      </c>
      <c r="C21" s="3" t="s">
        <v>9</v>
      </c>
    </row>
    <row r="22" spans="1:3" x14ac:dyDescent="0.25">
      <c r="A22" s="9">
        <v>1009</v>
      </c>
      <c r="B22" s="3" t="s">
        <v>22</v>
      </c>
      <c r="C22" s="3" t="s">
        <v>9</v>
      </c>
    </row>
    <row r="23" spans="1:3" x14ac:dyDescent="0.25">
      <c r="A23" s="9">
        <v>1011</v>
      </c>
      <c r="B23" s="3" t="s">
        <v>131</v>
      </c>
      <c r="C23" s="3" t="s">
        <v>9</v>
      </c>
    </row>
    <row r="24" spans="1:3" x14ac:dyDescent="0.25">
      <c r="A24" s="12"/>
      <c r="B24" s="3"/>
      <c r="C24" s="3"/>
    </row>
    <row r="25" spans="1:3" x14ac:dyDescent="0.25">
      <c r="A25" s="9">
        <v>1006</v>
      </c>
      <c r="B25" s="3" t="s">
        <v>23</v>
      </c>
      <c r="C25" s="3" t="s">
        <v>30</v>
      </c>
    </row>
    <row r="26" spans="1:3" x14ac:dyDescent="0.25">
      <c r="A26" s="9">
        <v>1007</v>
      </c>
      <c r="B26" s="3" t="s">
        <v>24</v>
      </c>
      <c r="C26" s="3" t="s">
        <v>30</v>
      </c>
    </row>
    <row r="27" spans="1:3" x14ac:dyDescent="0.25">
      <c r="A27" s="9">
        <v>1008</v>
      </c>
      <c r="B27" s="3" t="s">
        <v>25</v>
      </c>
      <c r="C27" s="3" t="s">
        <v>30</v>
      </c>
    </row>
    <row r="28" spans="1:3" x14ac:dyDescent="0.25">
      <c r="A28" s="9">
        <v>1009</v>
      </c>
      <c r="B28" s="3" t="s">
        <v>26</v>
      </c>
      <c r="C28" s="3" t="s">
        <v>30</v>
      </c>
    </row>
    <row r="29" spans="1:3" x14ac:dyDescent="0.25">
      <c r="A29" s="9">
        <v>1010</v>
      </c>
      <c r="B29" s="3" t="s">
        <v>27</v>
      </c>
      <c r="C29" s="3" t="s">
        <v>30</v>
      </c>
    </row>
    <row r="30" spans="1:3" x14ac:dyDescent="0.25">
      <c r="A30" s="9">
        <v>1011</v>
      </c>
      <c r="B30" s="3" t="s">
        <v>28</v>
      </c>
      <c r="C30" s="3" t="s">
        <v>30</v>
      </c>
    </row>
    <row r="31" spans="1:3" x14ac:dyDescent="0.25">
      <c r="A31" s="9">
        <v>1012</v>
      </c>
      <c r="B31" s="3" t="s">
        <v>29</v>
      </c>
      <c r="C31" s="3" t="s">
        <v>30</v>
      </c>
    </row>
    <row r="32" spans="1:3" x14ac:dyDescent="0.25">
      <c r="A32" s="9">
        <v>1013</v>
      </c>
      <c r="B32" s="3" t="s">
        <v>31</v>
      </c>
      <c r="C32" s="3" t="s">
        <v>30</v>
      </c>
    </row>
    <row r="33" spans="1:3" x14ac:dyDescent="0.25">
      <c r="A33" s="3"/>
      <c r="B33" s="3"/>
      <c r="C33" s="3"/>
    </row>
    <row r="34" spans="1:3" x14ac:dyDescent="0.25">
      <c r="A34" s="9">
        <v>2000</v>
      </c>
      <c r="B34" s="3" t="s">
        <v>32</v>
      </c>
      <c r="C34" s="3" t="s">
        <v>44</v>
      </c>
    </row>
    <row r="35" spans="1:3" x14ac:dyDescent="0.25">
      <c r="A35" s="9">
        <v>2001</v>
      </c>
      <c r="B35" s="3" t="s">
        <v>33</v>
      </c>
      <c r="C35" s="3" t="s">
        <v>44</v>
      </c>
    </row>
    <row r="36" spans="1:3" x14ac:dyDescent="0.25">
      <c r="A36" s="9">
        <v>2002</v>
      </c>
      <c r="B36" s="3" t="s">
        <v>45</v>
      </c>
      <c r="C36" s="3" t="s">
        <v>44</v>
      </c>
    </row>
    <row r="37" spans="1:3" x14ac:dyDescent="0.25">
      <c r="A37" s="9">
        <v>2003</v>
      </c>
      <c r="B37" s="11" t="s">
        <v>46</v>
      </c>
      <c r="C37" s="11" t="s">
        <v>47</v>
      </c>
    </row>
    <row r="38" spans="1:3" x14ac:dyDescent="0.25">
      <c r="A38" s="9">
        <v>2004</v>
      </c>
      <c r="B38" s="11" t="s">
        <v>48</v>
      </c>
      <c r="C38" s="11" t="s">
        <v>47</v>
      </c>
    </row>
    <row r="39" spans="1:3" x14ac:dyDescent="0.25">
      <c r="A39" s="9">
        <v>2005</v>
      </c>
      <c r="B39" s="11" t="s">
        <v>49</v>
      </c>
      <c r="C39" s="11" t="s">
        <v>47</v>
      </c>
    </row>
    <row r="40" spans="1:3" x14ac:dyDescent="0.25">
      <c r="A40" s="9">
        <v>2006</v>
      </c>
      <c r="B40" s="11" t="s">
        <v>50</v>
      </c>
      <c r="C40" s="11" t="s">
        <v>47</v>
      </c>
    </row>
    <row r="41" spans="1:3" x14ac:dyDescent="0.25">
      <c r="A41" s="9">
        <v>2007</v>
      </c>
      <c r="B41" s="11" t="s">
        <v>51</v>
      </c>
      <c r="C41" s="11" t="s">
        <v>47</v>
      </c>
    </row>
    <row r="42" spans="1:3" x14ac:dyDescent="0.25">
      <c r="A42" s="3"/>
      <c r="B42" s="3"/>
      <c r="C42" s="3"/>
    </row>
    <row r="43" spans="1:3" x14ac:dyDescent="0.25">
      <c r="A43" s="3"/>
      <c r="B43" s="3"/>
      <c r="C43" s="3"/>
    </row>
    <row r="44" spans="1:3" x14ac:dyDescent="0.25">
      <c r="A44" s="9">
        <v>3000</v>
      </c>
      <c r="B44" s="11" t="s">
        <v>52</v>
      </c>
      <c r="C44" s="11" t="s">
        <v>53</v>
      </c>
    </row>
    <row r="45" spans="1:3" x14ac:dyDescent="0.25">
      <c r="A45" s="9">
        <v>3001</v>
      </c>
      <c r="B45" s="11" t="s">
        <v>54</v>
      </c>
      <c r="C45" s="11" t="s">
        <v>53</v>
      </c>
    </row>
    <row r="46" spans="1:3" x14ac:dyDescent="0.25">
      <c r="A46" s="3"/>
      <c r="B46" s="3"/>
      <c r="C46" s="3"/>
    </row>
    <row r="47" spans="1:3" x14ac:dyDescent="0.25">
      <c r="A47" s="9">
        <v>5000</v>
      </c>
      <c r="B47" s="11" t="s">
        <v>55</v>
      </c>
      <c r="C47" s="11" t="s">
        <v>64</v>
      </c>
    </row>
    <row r="48" spans="1:3" x14ac:dyDescent="0.25">
      <c r="A48" s="9">
        <v>5001</v>
      </c>
      <c r="B48" s="11" t="s">
        <v>56</v>
      </c>
      <c r="C48" s="11" t="s">
        <v>62</v>
      </c>
    </row>
    <row r="49" spans="1:3" x14ac:dyDescent="0.25">
      <c r="A49" s="9">
        <v>5002</v>
      </c>
      <c r="B49" s="11" t="s">
        <v>57</v>
      </c>
      <c r="C49" s="11" t="s">
        <v>63</v>
      </c>
    </row>
    <row r="50" spans="1:3" x14ac:dyDescent="0.25">
      <c r="A50" s="9">
        <v>5003</v>
      </c>
      <c r="B50" s="11" t="s">
        <v>58</v>
      </c>
      <c r="C50" s="11" t="s">
        <v>63</v>
      </c>
    </row>
    <row r="51" spans="1:3" x14ac:dyDescent="0.25">
      <c r="A51" s="9">
        <v>5004</v>
      </c>
      <c r="B51" s="11" t="s">
        <v>59</v>
      </c>
      <c r="C51" s="11" t="s">
        <v>63</v>
      </c>
    </row>
    <row r="52" spans="1:3" x14ac:dyDescent="0.25">
      <c r="A52" s="9">
        <v>5005</v>
      </c>
      <c r="B52" s="11" t="s">
        <v>60</v>
      </c>
      <c r="C52" s="11" t="s">
        <v>63</v>
      </c>
    </row>
    <row r="53" spans="1:3" x14ac:dyDescent="0.25">
      <c r="A53" s="9">
        <v>5006</v>
      </c>
      <c r="B53" s="11" t="s">
        <v>61</v>
      </c>
      <c r="C53" s="11" t="s">
        <v>63</v>
      </c>
    </row>
    <row r="54" spans="1:3" x14ac:dyDescent="0.25">
      <c r="A54" s="9">
        <v>5007</v>
      </c>
      <c r="B54" s="10" t="s">
        <v>65</v>
      </c>
      <c r="C54" s="11" t="s">
        <v>63</v>
      </c>
    </row>
    <row r="55" spans="1:3" x14ac:dyDescent="0.25">
      <c r="A55" s="3"/>
      <c r="B55" s="3"/>
      <c r="C55" s="3"/>
    </row>
    <row r="56" spans="1:3" x14ac:dyDescent="0.25">
      <c r="A56" s="9">
        <v>6000</v>
      </c>
      <c r="B56" s="11" t="s">
        <v>66</v>
      </c>
      <c r="C56" s="11" t="s">
        <v>67</v>
      </c>
    </row>
    <row r="57" spans="1:3" x14ac:dyDescent="0.25">
      <c r="A57" s="9">
        <v>6001</v>
      </c>
      <c r="B57" s="11" t="s">
        <v>68</v>
      </c>
      <c r="C57" s="11" t="s">
        <v>67</v>
      </c>
    </row>
    <row r="58" spans="1:3" x14ac:dyDescent="0.25">
      <c r="A58" s="9">
        <v>6002</v>
      </c>
      <c r="B58" s="11" t="s">
        <v>69</v>
      </c>
      <c r="C58" s="11" t="s">
        <v>67</v>
      </c>
    </row>
    <row r="59" spans="1:3" x14ac:dyDescent="0.25">
      <c r="A59" s="9">
        <v>6003</v>
      </c>
      <c r="B59" s="11" t="s">
        <v>70</v>
      </c>
      <c r="C59" s="11" t="s">
        <v>67</v>
      </c>
    </row>
    <row r="60" spans="1:3" x14ac:dyDescent="0.25">
      <c r="A60" s="9">
        <v>6004</v>
      </c>
      <c r="B60" s="11" t="s">
        <v>71</v>
      </c>
      <c r="C60" s="11" t="s">
        <v>67</v>
      </c>
    </row>
    <row r="61" spans="1:3" x14ac:dyDescent="0.25">
      <c r="A61" s="9">
        <v>6005</v>
      </c>
      <c r="B61" s="11" t="s">
        <v>72</v>
      </c>
      <c r="C61" s="11" t="s">
        <v>67</v>
      </c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4" spans="1:3" x14ac:dyDescent="0.25">
      <c r="A64" s="9">
        <v>7000</v>
      </c>
      <c r="B64" s="3" t="s">
        <v>75</v>
      </c>
      <c r="C64" s="3" t="s">
        <v>74</v>
      </c>
    </row>
    <row r="65" spans="1:3" x14ac:dyDescent="0.25">
      <c r="A65" s="9">
        <v>7001</v>
      </c>
      <c r="B65" s="3" t="s">
        <v>76</v>
      </c>
      <c r="C65" s="3" t="s">
        <v>74</v>
      </c>
    </row>
    <row r="66" spans="1:3" x14ac:dyDescent="0.25">
      <c r="A66" s="9">
        <v>7002</v>
      </c>
      <c r="B66" s="3" t="s">
        <v>77</v>
      </c>
      <c r="C66" s="3" t="s">
        <v>74</v>
      </c>
    </row>
    <row r="67" spans="1:3" x14ac:dyDescent="0.25">
      <c r="A67" s="9">
        <v>7003</v>
      </c>
      <c r="B67" s="3" t="s">
        <v>78</v>
      </c>
      <c r="C67" s="3" t="s">
        <v>74</v>
      </c>
    </row>
    <row r="68" spans="1:3" x14ac:dyDescent="0.25">
      <c r="A68" s="9">
        <v>7004</v>
      </c>
      <c r="B68" s="3" t="s">
        <v>79</v>
      </c>
      <c r="C68" s="3" t="s">
        <v>74</v>
      </c>
    </row>
    <row r="69" spans="1:3" x14ac:dyDescent="0.25">
      <c r="A69" s="9">
        <v>7005</v>
      </c>
      <c r="B69" s="3" t="s">
        <v>80</v>
      </c>
      <c r="C69" s="3" t="s">
        <v>74</v>
      </c>
    </row>
    <row r="70" spans="1:3" x14ac:dyDescent="0.25">
      <c r="A70" s="9">
        <v>7006</v>
      </c>
      <c r="B70" s="3" t="s">
        <v>81</v>
      </c>
      <c r="C70" s="3" t="s">
        <v>74</v>
      </c>
    </row>
    <row r="71" spans="1:3" ht="11.25" customHeight="1" x14ac:dyDescent="0.25">
      <c r="A71" s="9">
        <v>7007</v>
      </c>
      <c r="B71" s="11" t="s">
        <v>82</v>
      </c>
      <c r="C71" s="3" t="s">
        <v>74</v>
      </c>
    </row>
    <row r="72" spans="1:3" x14ac:dyDescent="0.25">
      <c r="A72" s="9">
        <v>7008</v>
      </c>
      <c r="B72" s="11" t="s">
        <v>83</v>
      </c>
      <c r="C72" s="3" t="s">
        <v>74</v>
      </c>
    </row>
    <row r="73" spans="1:3" x14ac:dyDescent="0.25">
      <c r="A73" s="9">
        <v>7009</v>
      </c>
      <c r="B73" s="11" t="s">
        <v>84</v>
      </c>
      <c r="C73" s="3" t="s">
        <v>74</v>
      </c>
    </row>
    <row r="74" spans="1:3" x14ac:dyDescent="0.25">
      <c r="A74" s="9">
        <v>7010</v>
      </c>
      <c r="B74" s="11" t="s">
        <v>85</v>
      </c>
      <c r="C74" s="3" t="s">
        <v>74</v>
      </c>
    </row>
    <row r="75" spans="1:3" x14ac:dyDescent="0.25">
      <c r="A75" s="9">
        <v>7011</v>
      </c>
      <c r="B75" s="11" t="s">
        <v>86</v>
      </c>
      <c r="C75" s="3" t="s">
        <v>74</v>
      </c>
    </row>
    <row r="76" spans="1:3" x14ac:dyDescent="0.25">
      <c r="A76" s="9">
        <v>7012</v>
      </c>
      <c r="B76" s="11" t="s">
        <v>87</v>
      </c>
      <c r="C76" s="3" t="s">
        <v>74</v>
      </c>
    </row>
    <row r="77" spans="1:3" x14ac:dyDescent="0.25">
      <c r="A77" s="9">
        <v>7013</v>
      </c>
      <c r="B77" s="11" t="s">
        <v>88</v>
      </c>
      <c r="C77" s="3" t="s">
        <v>74</v>
      </c>
    </row>
    <row r="78" spans="1:3" x14ac:dyDescent="0.25">
      <c r="A78" s="9">
        <v>7014</v>
      </c>
      <c r="B78" s="11" t="s">
        <v>89</v>
      </c>
      <c r="C78" s="3" t="s">
        <v>74</v>
      </c>
    </row>
    <row r="79" spans="1:3" x14ac:dyDescent="0.25">
      <c r="A79" s="9">
        <v>7015</v>
      </c>
      <c r="B79" s="11" t="s">
        <v>90</v>
      </c>
      <c r="C79" s="3" t="s">
        <v>74</v>
      </c>
    </row>
    <row r="80" spans="1:3" x14ac:dyDescent="0.25">
      <c r="A80" s="9">
        <v>7016</v>
      </c>
      <c r="B80" s="11" t="s">
        <v>91</v>
      </c>
      <c r="C80" s="3" t="s">
        <v>74</v>
      </c>
    </row>
    <row r="81" spans="1:3" x14ac:dyDescent="0.25">
      <c r="A81" s="9">
        <v>7017</v>
      </c>
      <c r="B81" s="11" t="s">
        <v>92</v>
      </c>
      <c r="C81" s="3" t="s">
        <v>74</v>
      </c>
    </row>
    <row r="82" spans="1:3" x14ac:dyDescent="0.25">
      <c r="A82" s="9">
        <v>7018</v>
      </c>
      <c r="B82" s="11" t="s">
        <v>93</v>
      </c>
      <c r="C82" s="3" t="s">
        <v>74</v>
      </c>
    </row>
    <row r="83" spans="1:3" x14ac:dyDescent="0.25">
      <c r="A83" s="9">
        <v>7019</v>
      </c>
      <c r="B83" s="11" t="s">
        <v>94</v>
      </c>
      <c r="C83" s="3" t="s">
        <v>74</v>
      </c>
    </row>
    <row r="84" spans="1:3" x14ac:dyDescent="0.25">
      <c r="A84" s="9">
        <v>7020</v>
      </c>
      <c r="B84" s="11" t="s">
        <v>95</v>
      </c>
      <c r="C84" s="3" t="s">
        <v>74</v>
      </c>
    </row>
    <row r="85" spans="1:3" x14ac:dyDescent="0.25">
      <c r="A85" s="9">
        <v>7021</v>
      </c>
      <c r="B85" s="11" t="s">
        <v>96</v>
      </c>
      <c r="C85" s="3" t="s">
        <v>74</v>
      </c>
    </row>
    <row r="86" spans="1:3" x14ac:dyDescent="0.25">
      <c r="A86" s="9">
        <v>7022</v>
      </c>
      <c r="B86" s="11" t="s">
        <v>97</v>
      </c>
      <c r="C86" s="3" t="s">
        <v>74</v>
      </c>
    </row>
    <row r="87" spans="1:3" x14ac:dyDescent="0.25">
      <c r="A87" s="9">
        <v>7023</v>
      </c>
      <c r="B87" s="11" t="s">
        <v>98</v>
      </c>
      <c r="C87" s="3" t="s">
        <v>74</v>
      </c>
    </row>
    <row r="88" spans="1:3" x14ac:dyDescent="0.25">
      <c r="A88" s="9">
        <v>7024</v>
      </c>
      <c r="B88" s="11" t="s">
        <v>99</v>
      </c>
      <c r="C88" s="3" t="s">
        <v>74</v>
      </c>
    </row>
    <row r="89" spans="1:3" x14ac:dyDescent="0.25">
      <c r="A89" s="9">
        <v>7025</v>
      </c>
      <c r="B89" s="11" t="s">
        <v>100</v>
      </c>
      <c r="C89" s="3" t="s">
        <v>74</v>
      </c>
    </row>
    <row r="90" spans="1:3" x14ac:dyDescent="0.25">
      <c r="A90" s="9">
        <v>7026</v>
      </c>
      <c r="B90" s="11" t="s">
        <v>101</v>
      </c>
      <c r="C90" s="3" t="s">
        <v>74</v>
      </c>
    </row>
    <row r="91" spans="1:3" x14ac:dyDescent="0.25">
      <c r="A91" s="9">
        <v>7027</v>
      </c>
      <c r="B91" s="11" t="s">
        <v>102</v>
      </c>
      <c r="C91" s="3" t="s">
        <v>74</v>
      </c>
    </row>
    <row r="92" spans="1:3" x14ac:dyDescent="0.25">
      <c r="A92" s="9">
        <v>7028</v>
      </c>
      <c r="B92" s="11" t="s">
        <v>103</v>
      </c>
      <c r="C92" s="3" t="s">
        <v>74</v>
      </c>
    </row>
    <row r="93" spans="1:3" x14ac:dyDescent="0.25">
      <c r="A93" s="9">
        <v>7029</v>
      </c>
      <c r="B93" s="11" t="s">
        <v>104</v>
      </c>
      <c r="C93" s="3" t="s">
        <v>74</v>
      </c>
    </row>
    <row r="94" spans="1:3" x14ac:dyDescent="0.25">
      <c r="A94" s="9">
        <v>7030</v>
      </c>
      <c r="B94" s="11" t="s">
        <v>105</v>
      </c>
      <c r="C94" s="3" t="s">
        <v>74</v>
      </c>
    </row>
    <row r="95" spans="1:3" x14ac:dyDescent="0.25">
      <c r="A95" s="9">
        <v>7031</v>
      </c>
      <c r="B95" s="11" t="s">
        <v>106</v>
      </c>
      <c r="C95" s="3" t="s">
        <v>74</v>
      </c>
    </row>
    <row r="96" spans="1:3" x14ac:dyDescent="0.25">
      <c r="A96" s="9">
        <v>7032</v>
      </c>
      <c r="B96" s="11" t="s">
        <v>107</v>
      </c>
      <c r="C96" s="3" t="s">
        <v>74</v>
      </c>
    </row>
    <row r="97" spans="1:18" x14ac:dyDescent="0.25">
      <c r="A97" s="9">
        <v>7033</v>
      </c>
      <c r="B97" s="11" t="s">
        <v>108</v>
      </c>
      <c r="C97" s="3" t="s">
        <v>74</v>
      </c>
    </row>
    <row r="98" spans="1:18" x14ac:dyDescent="0.25">
      <c r="A98" s="9">
        <v>7034</v>
      </c>
      <c r="B98" s="11" t="s">
        <v>109</v>
      </c>
      <c r="C98" s="3" t="s">
        <v>74</v>
      </c>
    </row>
    <row r="99" spans="1:18" x14ac:dyDescent="0.25">
      <c r="A99" s="9">
        <v>7035</v>
      </c>
      <c r="B99" s="11" t="s">
        <v>110</v>
      </c>
      <c r="C99" s="3" t="s">
        <v>74</v>
      </c>
    </row>
    <row r="100" spans="1:18" x14ac:dyDescent="0.25">
      <c r="A100" s="9">
        <v>7036</v>
      </c>
      <c r="B100" s="10" t="s">
        <v>111</v>
      </c>
      <c r="C100" s="3" t="s">
        <v>74</v>
      </c>
    </row>
    <row r="101" spans="1:18" x14ac:dyDescent="0.25">
      <c r="A101" s="9">
        <v>7037</v>
      </c>
      <c r="B101" s="3" t="s">
        <v>112</v>
      </c>
      <c r="C101" s="3" t="s">
        <v>74</v>
      </c>
    </row>
    <row r="102" spans="1:18" x14ac:dyDescent="0.25">
      <c r="A102" s="9">
        <v>7038</v>
      </c>
      <c r="B102" s="3" t="s">
        <v>121</v>
      </c>
      <c r="C102" s="3" t="s">
        <v>74</v>
      </c>
    </row>
    <row r="103" spans="1:18" x14ac:dyDescent="0.25">
      <c r="A103" s="9">
        <v>7039</v>
      </c>
      <c r="B103" s="3" t="s">
        <v>122</v>
      </c>
      <c r="C103" s="3" t="s">
        <v>74</v>
      </c>
    </row>
    <row r="104" spans="1:18" x14ac:dyDescent="0.25">
      <c r="A104" s="9">
        <v>7040</v>
      </c>
      <c r="B104" s="3" t="s">
        <v>123</v>
      </c>
      <c r="C104" s="3" t="s">
        <v>74</v>
      </c>
    </row>
    <row r="105" spans="1:18" x14ac:dyDescent="0.25">
      <c r="A105" s="9">
        <v>7041</v>
      </c>
      <c r="B105" s="3" t="s">
        <v>126</v>
      </c>
      <c r="C105" s="3" t="s">
        <v>74</v>
      </c>
    </row>
    <row r="106" spans="1:18" x14ac:dyDescent="0.25">
      <c r="A106" s="9">
        <v>7042</v>
      </c>
      <c r="B106" s="11" t="s">
        <v>124</v>
      </c>
      <c r="C106" s="3" t="s">
        <v>74</v>
      </c>
    </row>
    <row r="107" spans="1:18" x14ac:dyDescent="0.25">
      <c r="A107" s="9">
        <v>7043</v>
      </c>
      <c r="B107" s="11" t="s">
        <v>130</v>
      </c>
      <c r="C107" s="3" t="s">
        <v>74</v>
      </c>
    </row>
    <row r="108" spans="1:18" x14ac:dyDescent="0.25">
      <c r="A108" s="3"/>
      <c r="B108" s="10"/>
      <c r="C108" s="13"/>
    </row>
    <row r="109" spans="1:18" x14ac:dyDescent="0.25">
      <c r="A109" s="9">
        <v>8001</v>
      </c>
      <c r="B109" s="11" t="s">
        <v>113</v>
      </c>
      <c r="C109" s="3" t="s">
        <v>118</v>
      </c>
    </row>
    <row r="110" spans="1:18" x14ac:dyDescent="0.25">
      <c r="A110" s="9">
        <v>8002</v>
      </c>
      <c r="B110" s="11" t="s">
        <v>114</v>
      </c>
      <c r="C110" s="3" t="s">
        <v>118</v>
      </c>
    </row>
    <row r="111" spans="1:18" x14ac:dyDescent="0.25">
      <c r="A111" s="9">
        <v>8003</v>
      </c>
      <c r="B111" s="11" t="s">
        <v>115</v>
      </c>
      <c r="C111" s="3" t="s">
        <v>118</v>
      </c>
      <c r="R111">
        <f>120*5000</f>
        <v>600000</v>
      </c>
    </row>
    <row r="112" spans="1:18" x14ac:dyDescent="0.25">
      <c r="A112" s="9">
        <v>8004</v>
      </c>
      <c r="B112" s="11" t="s">
        <v>73</v>
      </c>
      <c r="C112" s="3" t="s">
        <v>118</v>
      </c>
    </row>
    <row r="113" spans="1:3" x14ac:dyDescent="0.25">
      <c r="A113" s="9">
        <v>8005</v>
      </c>
      <c r="B113" s="11" t="s">
        <v>116</v>
      </c>
      <c r="C113" s="3" t="s">
        <v>118</v>
      </c>
    </row>
    <row r="114" spans="1:3" x14ac:dyDescent="0.25">
      <c r="A114" s="8"/>
      <c r="B114" s="11"/>
      <c r="C114" s="3"/>
    </row>
    <row r="115" spans="1:3" x14ac:dyDescent="0.25">
      <c r="A115" s="3"/>
      <c r="B115" s="3"/>
      <c r="C115" s="3"/>
    </row>
    <row r="116" spans="1:3" x14ac:dyDescent="0.25">
      <c r="A116" s="9">
        <v>9000</v>
      </c>
      <c r="B116" s="11" t="s">
        <v>117</v>
      </c>
      <c r="C116" s="3" t="s">
        <v>125</v>
      </c>
    </row>
    <row r="117" spans="1:3" x14ac:dyDescent="0.25">
      <c r="A117" s="9">
        <v>9001</v>
      </c>
      <c r="B117" s="11" t="s">
        <v>119</v>
      </c>
      <c r="C117" s="3" t="s">
        <v>125</v>
      </c>
    </row>
    <row r="118" spans="1:3" x14ac:dyDescent="0.25">
      <c r="A118" s="9">
        <v>9002</v>
      </c>
      <c r="B118" s="11" t="s">
        <v>120</v>
      </c>
      <c r="C118" s="3" t="s">
        <v>125</v>
      </c>
    </row>
    <row r="119" spans="1:3" x14ac:dyDescent="0.25">
      <c r="A119" s="3"/>
      <c r="B119" s="3"/>
      <c r="C119" s="3"/>
    </row>
    <row r="120" spans="1:3" x14ac:dyDescent="0.25">
      <c r="A120" s="3"/>
      <c r="B120" s="3"/>
      <c r="C120" s="3"/>
    </row>
    <row r="121" spans="1:3" x14ac:dyDescent="0.25">
      <c r="A121" s="9">
        <v>10000</v>
      </c>
      <c r="B121" s="3" t="s">
        <v>128</v>
      </c>
      <c r="C121" s="3" t="s">
        <v>127</v>
      </c>
    </row>
    <row r="122" spans="1:3" x14ac:dyDescent="0.25">
      <c r="A122" s="9">
        <v>10001</v>
      </c>
      <c r="B122" s="3" t="s">
        <v>129</v>
      </c>
      <c r="C122" s="3" t="s">
        <v>127</v>
      </c>
    </row>
    <row r="123" spans="1:3" x14ac:dyDescent="0.25">
      <c r="A123" s="8"/>
      <c r="B123" s="3"/>
      <c r="C123" s="3"/>
    </row>
    <row r="124" spans="1:3" x14ac:dyDescent="0.25">
      <c r="A124" s="3"/>
      <c r="B124" s="3"/>
      <c r="C124" s="3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3A45-1963-4DBB-A9C0-1B936D357448}">
  <dimension ref="A1:E59"/>
  <sheetViews>
    <sheetView topLeftCell="A10" workbookViewId="0">
      <selection activeCell="H20" sqref="H19:H20"/>
    </sheetView>
  </sheetViews>
  <sheetFormatPr defaultRowHeight="15" x14ac:dyDescent="0.25"/>
  <cols>
    <col min="1" max="1" width="38.7109375" customWidth="1"/>
    <col min="2" max="2" width="32.85546875" style="17" customWidth="1"/>
    <col min="3" max="3" width="22.140625" customWidth="1"/>
    <col min="5" max="5" width="10.5703125" bestFit="1" customWidth="1"/>
  </cols>
  <sheetData>
    <row r="1" spans="1:3" x14ac:dyDescent="0.25">
      <c r="A1" s="44" t="s">
        <v>147</v>
      </c>
      <c r="B1" s="35" t="s">
        <v>2</v>
      </c>
      <c r="C1" s="15"/>
    </row>
    <row r="2" spans="1:3" x14ac:dyDescent="0.25">
      <c r="A2" s="44" t="s">
        <v>133</v>
      </c>
      <c r="C2" s="15"/>
    </row>
    <row r="3" spans="1:3" x14ac:dyDescent="0.25">
      <c r="A3" s="44" t="s">
        <v>134</v>
      </c>
      <c r="C3" s="15"/>
    </row>
    <row r="4" spans="1:3" x14ac:dyDescent="0.25">
      <c r="A4" s="27" t="s">
        <v>135</v>
      </c>
      <c r="B4" s="23"/>
      <c r="C4" s="28"/>
    </row>
    <row r="5" spans="1:3" s="16" customFormat="1" x14ac:dyDescent="0.25">
      <c r="A5" s="27" t="s">
        <v>136</v>
      </c>
      <c r="B5" s="23"/>
      <c r="C5" s="28"/>
    </row>
    <row r="6" spans="1:3" x14ac:dyDescent="0.25">
      <c r="A6" s="28" t="s">
        <v>23</v>
      </c>
      <c r="B6" s="23">
        <v>1000</v>
      </c>
      <c r="C6" s="28"/>
    </row>
    <row r="7" spans="1:3" x14ac:dyDescent="0.25">
      <c r="A7" s="28" t="s">
        <v>24</v>
      </c>
      <c r="B7" s="23">
        <v>1000</v>
      </c>
      <c r="C7" s="28"/>
    </row>
    <row r="8" spans="1:3" x14ac:dyDescent="0.25">
      <c r="A8" s="28" t="s">
        <v>25</v>
      </c>
      <c r="B8" s="23">
        <v>1000</v>
      </c>
      <c r="C8" s="28"/>
    </row>
    <row r="9" spans="1:3" x14ac:dyDescent="0.25">
      <c r="A9" s="28" t="s">
        <v>26</v>
      </c>
      <c r="B9" s="23">
        <v>1000</v>
      </c>
      <c r="C9" s="28"/>
    </row>
    <row r="10" spans="1:3" x14ac:dyDescent="0.25">
      <c r="A10" s="28" t="s">
        <v>27</v>
      </c>
      <c r="B10" s="23">
        <v>1000</v>
      </c>
      <c r="C10" s="28"/>
    </row>
    <row r="11" spans="1:3" x14ac:dyDescent="0.25">
      <c r="A11" s="28" t="s">
        <v>28</v>
      </c>
      <c r="B11" s="23">
        <v>1000</v>
      </c>
      <c r="C11" s="28"/>
    </row>
    <row r="12" spans="1:3" x14ac:dyDescent="0.25">
      <c r="A12" s="28" t="s">
        <v>29</v>
      </c>
      <c r="B12" s="23">
        <v>1000</v>
      </c>
      <c r="C12" s="28"/>
    </row>
    <row r="13" spans="1:3" x14ac:dyDescent="0.25">
      <c r="A13" s="28" t="s">
        <v>31</v>
      </c>
      <c r="B13" s="23">
        <f>-1000</f>
        <v>-1000</v>
      </c>
      <c r="C13" s="28"/>
    </row>
    <row r="14" spans="1:3" s="16" customFormat="1" x14ac:dyDescent="0.25">
      <c r="A14" s="28"/>
      <c r="B14" s="23"/>
      <c r="C14" s="25">
        <f>8000-B13</f>
        <v>9000</v>
      </c>
    </row>
    <row r="15" spans="1:3" s="16" customFormat="1" x14ac:dyDescent="0.25">
      <c r="A15" s="20" t="s">
        <v>137</v>
      </c>
      <c r="B15" s="23"/>
      <c r="C15" s="28"/>
    </row>
    <row r="16" spans="1:3" x14ac:dyDescent="0.25">
      <c r="A16" s="28" t="s">
        <v>6</v>
      </c>
      <c r="B16" s="23">
        <v>1000</v>
      </c>
      <c r="C16" s="28"/>
    </row>
    <row r="17" spans="1:3" x14ac:dyDescent="0.25">
      <c r="A17" s="28" t="s">
        <v>8</v>
      </c>
      <c r="B17" s="23">
        <v>1000</v>
      </c>
      <c r="C17" s="28"/>
    </row>
    <row r="18" spans="1:3" x14ac:dyDescent="0.25">
      <c r="A18" s="28" t="s">
        <v>35</v>
      </c>
      <c r="B18" s="23">
        <v>1000</v>
      </c>
      <c r="C18" s="28"/>
    </row>
    <row r="19" spans="1:3" x14ac:dyDescent="0.25">
      <c r="A19" s="28" t="s">
        <v>14</v>
      </c>
      <c r="B19" s="23">
        <v>1000</v>
      </c>
      <c r="C19" s="28"/>
    </row>
    <row r="20" spans="1:3" x14ac:dyDescent="0.25">
      <c r="A20" s="28" t="s">
        <v>15</v>
      </c>
      <c r="B20" s="23">
        <v>1000</v>
      </c>
      <c r="C20" s="28"/>
    </row>
    <row r="21" spans="1:3" x14ac:dyDescent="0.25">
      <c r="A21" s="28" t="s">
        <v>16</v>
      </c>
      <c r="B21" s="23">
        <v>1000</v>
      </c>
      <c r="C21" s="28"/>
    </row>
    <row r="22" spans="1:3" x14ac:dyDescent="0.25">
      <c r="A22" s="28" t="s">
        <v>17</v>
      </c>
      <c r="B22" s="23">
        <v>1000</v>
      </c>
      <c r="C22" s="28"/>
    </row>
    <row r="23" spans="1:3" x14ac:dyDescent="0.25">
      <c r="A23" s="28" t="s">
        <v>18</v>
      </c>
      <c r="B23" s="23">
        <v>1000</v>
      </c>
      <c r="C23" s="28"/>
    </row>
    <row r="24" spans="1:3" x14ac:dyDescent="0.25">
      <c r="A24" s="28" t="s">
        <v>20</v>
      </c>
      <c r="B24" s="23">
        <v>1000</v>
      </c>
      <c r="C24" s="28"/>
    </row>
    <row r="25" spans="1:3" x14ac:dyDescent="0.25">
      <c r="A25" s="28" t="s">
        <v>21</v>
      </c>
      <c r="B25" s="23">
        <v>1000</v>
      </c>
      <c r="C25" s="28"/>
    </row>
    <row r="26" spans="1:3" x14ac:dyDescent="0.25">
      <c r="A26" s="28" t="s">
        <v>36</v>
      </c>
      <c r="B26" s="23">
        <v>1000</v>
      </c>
      <c r="C26" s="28"/>
    </row>
    <row r="27" spans="1:3" x14ac:dyDescent="0.25">
      <c r="A27" s="28" t="s">
        <v>132</v>
      </c>
      <c r="B27" s="23">
        <v>1000</v>
      </c>
      <c r="C27" s="28"/>
    </row>
    <row r="28" spans="1:3" x14ac:dyDescent="0.25">
      <c r="A28" s="28" t="s">
        <v>39</v>
      </c>
      <c r="B28" s="23">
        <v>1000</v>
      </c>
      <c r="C28" s="28"/>
    </row>
    <row r="29" spans="1:3" x14ac:dyDescent="0.25">
      <c r="A29" s="28" t="s">
        <v>40</v>
      </c>
      <c r="B29" s="23">
        <v>1000</v>
      </c>
      <c r="C29" s="28"/>
    </row>
    <row r="30" spans="1:3" ht="19.5" customHeight="1" x14ac:dyDescent="0.25">
      <c r="A30" s="29" t="s">
        <v>41</v>
      </c>
      <c r="B30" s="23">
        <v>1000</v>
      </c>
      <c r="C30" s="28"/>
    </row>
    <row r="31" spans="1:3" ht="24" customHeight="1" x14ac:dyDescent="0.25">
      <c r="A31" s="29" t="s">
        <v>42</v>
      </c>
      <c r="B31" s="23">
        <v>1000</v>
      </c>
      <c r="C31" s="28"/>
    </row>
    <row r="32" spans="1:3" ht="14.25" customHeight="1" x14ac:dyDescent="0.25">
      <c r="A32" s="29" t="s">
        <v>43</v>
      </c>
      <c r="B32" s="23">
        <v>1000</v>
      </c>
      <c r="C32" s="28"/>
    </row>
    <row r="33" spans="1:3" x14ac:dyDescent="0.25">
      <c r="A33" s="28" t="s">
        <v>38</v>
      </c>
      <c r="B33" s="23">
        <v>1000</v>
      </c>
      <c r="C33" s="28"/>
    </row>
    <row r="34" spans="1:3" x14ac:dyDescent="0.25">
      <c r="A34" s="28" t="s">
        <v>22</v>
      </c>
      <c r="B34" s="23">
        <v>2000</v>
      </c>
      <c r="C34" s="28"/>
    </row>
    <row r="35" spans="1:3" x14ac:dyDescent="0.25">
      <c r="A35" s="28" t="s">
        <v>131</v>
      </c>
      <c r="B35" s="23">
        <v>1000</v>
      </c>
      <c r="C35" s="25">
        <f>SUM(B16:B35)</f>
        <v>21000</v>
      </c>
    </row>
    <row r="36" spans="1:3" ht="15.75" thickBot="1" x14ac:dyDescent="0.3">
      <c r="A36" s="26" t="s">
        <v>138</v>
      </c>
      <c r="B36" s="22"/>
      <c r="C36" s="32">
        <f>C14+C35</f>
        <v>30000</v>
      </c>
    </row>
    <row r="37" spans="1:3" s="16" customFormat="1" ht="15.75" thickTop="1" x14ac:dyDescent="0.25">
      <c r="A37" s="26"/>
      <c r="B37" s="22"/>
      <c r="C37" s="31"/>
    </row>
    <row r="38" spans="1:3" s="16" customFormat="1" x14ac:dyDescent="0.25">
      <c r="A38" s="26" t="s">
        <v>139</v>
      </c>
      <c r="B38" s="22"/>
      <c r="C38" s="28"/>
    </row>
    <row r="39" spans="1:3" s="16" customFormat="1" x14ac:dyDescent="0.25">
      <c r="A39" s="26" t="s">
        <v>140</v>
      </c>
      <c r="B39" s="22"/>
      <c r="C39" s="28"/>
    </row>
    <row r="40" spans="1:3" s="16" customFormat="1" x14ac:dyDescent="0.25">
      <c r="A40" s="26" t="s">
        <v>141</v>
      </c>
      <c r="B40" s="22">
        <v>10000</v>
      </c>
      <c r="C40" s="28"/>
    </row>
    <row r="41" spans="1:3" s="16" customFormat="1" x14ac:dyDescent="0.25">
      <c r="A41" s="26" t="s">
        <v>143</v>
      </c>
      <c r="B41" s="22">
        <f>-1000</f>
        <v>-1000</v>
      </c>
      <c r="C41" s="28"/>
    </row>
    <row r="42" spans="1:3" s="16" customFormat="1" x14ac:dyDescent="0.25">
      <c r="A42" s="26"/>
      <c r="B42" s="22">
        <f>B40+B41</f>
        <v>9000</v>
      </c>
      <c r="C42" s="30"/>
    </row>
    <row r="43" spans="1:3" s="16" customFormat="1" x14ac:dyDescent="0.25">
      <c r="A43" s="26" t="s">
        <v>142</v>
      </c>
      <c r="B43" s="22">
        <v>5000</v>
      </c>
      <c r="C43" s="25">
        <f>B42+B43</f>
        <v>14000</v>
      </c>
    </row>
    <row r="44" spans="1:3" s="16" customFormat="1" x14ac:dyDescent="0.25">
      <c r="A44" s="26"/>
      <c r="B44" s="22"/>
      <c r="C44" s="28"/>
    </row>
    <row r="45" spans="1:3" s="16" customFormat="1" x14ac:dyDescent="0.25">
      <c r="A45" s="26" t="s">
        <v>144</v>
      </c>
      <c r="B45" s="23"/>
      <c r="C45" s="28"/>
    </row>
    <row r="46" spans="1:3" x14ac:dyDescent="0.25">
      <c r="A46" s="29" t="s">
        <v>52</v>
      </c>
      <c r="B46" s="24">
        <v>500</v>
      </c>
      <c r="C46" s="28"/>
    </row>
    <row r="47" spans="1:3" x14ac:dyDescent="0.25">
      <c r="A47" s="29" t="s">
        <v>54</v>
      </c>
      <c r="B47" s="24">
        <v>1000</v>
      </c>
      <c r="C47" s="25">
        <f>B46+B47</f>
        <v>1500</v>
      </c>
    </row>
    <row r="48" spans="1:3" x14ac:dyDescent="0.25">
      <c r="A48" s="28"/>
      <c r="B48" s="22"/>
      <c r="C48" s="28"/>
    </row>
    <row r="49" spans="1:5" x14ac:dyDescent="0.25">
      <c r="A49" s="20" t="s">
        <v>145</v>
      </c>
      <c r="B49" s="22"/>
      <c r="C49" s="28"/>
    </row>
    <row r="50" spans="1:5" x14ac:dyDescent="0.25">
      <c r="A50" s="28" t="s">
        <v>32</v>
      </c>
      <c r="B50" s="23">
        <v>1000</v>
      </c>
      <c r="C50" s="28"/>
    </row>
    <row r="51" spans="1:5" x14ac:dyDescent="0.25">
      <c r="A51" s="28" t="s">
        <v>33</v>
      </c>
      <c r="B51" s="23">
        <v>2000</v>
      </c>
      <c r="C51" s="28"/>
    </row>
    <row r="52" spans="1:5" x14ac:dyDescent="0.25">
      <c r="A52" s="28" t="s">
        <v>45</v>
      </c>
      <c r="B52" s="23">
        <v>1000</v>
      </c>
      <c r="C52" s="28"/>
    </row>
    <row r="53" spans="1:5" x14ac:dyDescent="0.25">
      <c r="A53" s="29" t="s">
        <v>46</v>
      </c>
      <c r="B53" s="24">
        <v>5000</v>
      </c>
      <c r="C53" s="28"/>
    </row>
    <row r="54" spans="1:5" x14ac:dyDescent="0.25">
      <c r="A54" s="29" t="s">
        <v>48</v>
      </c>
      <c r="B54" s="24">
        <v>1000</v>
      </c>
      <c r="C54" s="28"/>
    </row>
    <row r="55" spans="1:5" x14ac:dyDescent="0.25">
      <c r="A55" s="29" t="s">
        <v>49</v>
      </c>
      <c r="B55" s="24">
        <v>1000</v>
      </c>
      <c r="C55" s="28"/>
    </row>
    <row r="56" spans="1:5" x14ac:dyDescent="0.25">
      <c r="A56" s="29" t="s">
        <v>50</v>
      </c>
      <c r="B56" s="24">
        <v>2000</v>
      </c>
      <c r="C56" s="28"/>
      <c r="E56" s="17"/>
    </row>
    <row r="57" spans="1:5" x14ac:dyDescent="0.25">
      <c r="A57" s="29" t="s">
        <v>51</v>
      </c>
      <c r="B57" s="24">
        <v>1500</v>
      </c>
      <c r="C57" s="30">
        <f>B50+B51+B52+B53+B54+B55+B57+B56</f>
        <v>14500</v>
      </c>
      <c r="E57" s="18"/>
    </row>
    <row r="58" spans="1:5" ht="15.75" thickBot="1" x14ac:dyDescent="0.3">
      <c r="A58" s="20" t="s">
        <v>146</v>
      </c>
      <c r="B58" s="23"/>
      <c r="C58" s="32">
        <f>C43+C47+C57</f>
        <v>30000</v>
      </c>
      <c r="E58" s="18"/>
    </row>
    <row r="59" spans="1:5" ht="15.75" thickTop="1" x14ac:dyDescent="0.25">
      <c r="A59" s="28"/>
      <c r="B59" s="23"/>
      <c r="C59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795C-5B2C-4D7F-A573-A46B31D8C273}">
  <dimension ref="A1:E90"/>
  <sheetViews>
    <sheetView tabSelected="1" workbookViewId="0">
      <selection activeCell="C70" sqref="C70"/>
    </sheetView>
  </sheetViews>
  <sheetFormatPr defaultRowHeight="15" x14ac:dyDescent="0.25"/>
  <cols>
    <col min="1" max="1" width="39.42578125" customWidth="1"/>
    <col min="2" max="2" width="21.28515625" style="17" customWidth="1"/>
    <col min="3" max="3" width="25.85546875" style="17" customWidth="1"/>
  </cols>
  <sheetData>
    <row r="1" spans="1:5" x14ac:dyDescent="0.25">
      <c r="A1" s="44" t="s">
        <v>147</v>
      </c>
    </row>
    <row r="2" spans="1:5" x14ac:dyDescent="0.25">
      <c r="A2" s="44" t="s">
        <v>148</v>
      </c>
      <c r="C2" s="38" t="s">
        <v>2</v>
      </c>
    </row>
    <row r="3" spans="1:5" x14ac:dyDescent="0.25">
      <c r="A3" s="44" t="s">
        <v>149</v>
      </c>
      <c r="B3" s="34"/>
      <c r="C3" s="34"/>
      <c r="D3" s="19"/>
      <c r="E3" s="19"/>
    </row>
    <row r="4" spans="1:5" x14ac:dyDescent="0.25">
      <c r="A4" s="33" t="s">
        <v>150</v>
      </c>
      <c r="B4" s="22"/>
      <c r="C4" s="22"/>
    </row>
    <row r="5" spans="1:5" x14ac:dyDescent="0.25">
      <c r="A5" s="33" t="s">
        <v>55</v>
      </c>
      <c r="B5" s="22"/>
      <c r="C5" s="37">
        <v>10000</v>
      </c>
    </row>
    <row r="6" spans="1:5" x14ac:dyDescent="0.25">
      <c r="A6" s="20" t="s">
        <v>151</v>
      </c>
      <c r="B6" s="22">
        <v>1000</v>
      </c>
      <c r="C6" s="22"/>
    </row>
    <row r="7" spans="1:5" x14ac:dyDescent="0.25">
      <c r="A7" s="11" t="s">
        <v>56</v>
      </c>
      <c r="B7" s="22">
        <v>1000</v>
      </c>
      <c r="C7" s="22"/>
    </row>
    <row r="8" spans="1:5" x14ac:dyDescent="0.25">
      <c r="A8" s="11" t="s">
        <v>57</v>
      </c>
      <c r="B8" s="22">
        <v>1000</v>
      </c>
      <c r="C8" s="22"/>
    </row>
    <row r="9" spans="1:5" x14ac:dyDescent="0.25">
      <c r="A9" s="11" t="s">
        <v>58</v>
      </c>
      <c r="B9" s="22">
        <v>1000</v>
      </c>
      <c r="C9" s="22"/>
    </row>
    <row r="10" spans="1:5" x14ac:dyDescent="0.25">
      <c r="A10" s="11" t="s">
        <v>59</v>
      </c>
      <c r="B10" s="22">
        <v>1000</v>
      </c>
      <c r="C10" s="22"/>
    </row>
    <row r="11" spans="1:5" x14ac:dyDescent="0.25">
      <c r="A11" s="11" t="s">
        <v>60</v>
      </c>
      <c r="B11" s="22">
        <v>1000</v>
      </c>
      <c r="C11" s="22"/>
    </row>
    <row r="12" spans="1:5" x14ac:dyDescent="0.25">
      <c r="A12" s="11" t="s">
        <v>61</v>
      </c>
      <c r="B12" s="22">
        <v>1000</v>
      </c>
      <c r="C12" s="22"/>
    </row>
    <row r="13" spans="1:5" ht="18.75" customHeight="1" x14ac:dyDescent="0.25">
      <c r="A13" s="10" t="s">
        <v>65</v>
      </c>
      <c r="B13" s="22">
        <v>1000</v>
      </c>
      <c r="C13" s="37">
        <f>B6+B7+B8+B9+B10+B11+B12+B13</f>
        <v>8000</v>
      </c>
    </row>
    <row r="14" spans="1:5" ht="15.75" thickBot="1" x14ac:dyDescent="0.3">
      <c r="A14" s="20" t="s">
        <v>152</v>
      </c>
      <c r="B14" s="22"/>
      <c r="C14" s="40">
        <f>C5+C13</f>
        <v>18000</v>
      </c>
    </row>
    <row r="15" spans="1:5" s="16" customFormat="1" ht="15.75" thickTop="1" x14ac:dyDescent="0.25">
      <c r="A15" s="20" t="s">
        <v>153</v>
      </c>
      <c r="B15" s="22"/>
      <c r="C15" s="39"/>
    </row>
    <row r="16" spans="1:5" x14ac:dyDescent="0.25">
      <c r="A16" s="11" t="s">
        <v>66</v>
      </c>
      <c r="B16" s="22">
        <v>500</v>
      </c>
      <c r="C16" s="22"/>
    </row>
    <row r="17" spans="1:3" x14ac:dyDescent="0.25">
      <c r="A17" s="11" t="s">
        <v>68</v>
      </c>
      <c r="B17" s="22">
        <v>500</v>
      </c>
      <c r="C17" s="22"/>
    </row>
    <row r="18" spans="1:3" x14ac:dyDescent="0.25">
      <c r="A18" s="11" t="s">
        <v>69</v>
      </c>
      <c r="B18" s="22">
        <v>500</v>
      </c>
      <c r="C18" s="22"/>
    </row>
    <row r="19" spans="1:3" x14ac:dyDescent="0.25">
      <c r="A19" s="11" t="s">
        <v>70</v>
      </c>
      <c r="B19" s="22">
        <v>500</v>
      </c>
      <c r="C19" s="22"/>
    </row>
    <row r="20" spans="1:3" x14ac:dyDescent="0.25">
      <c r="A20" s="11" t="s">
        <v>71</v>
      </c>
      <c r="B20" s="22">
        <v>500</v>
      </c>
      <c r="C20" s="22"/>
    </row>
    <row r="21" spans="1:3" ht="15.75" thickBot="1" x14ac:dyDescent="0.3">
      <c r="A21" s="11" t="s">
        <v>72</v>
      </c>
      <c r="B21" s="22">
        <v>500</v>
      </c>
      <c r="C21" s="40">
        <f>B16+B17+B18+B19+B20+B21</f>
        <v>3000</v>
      </c>
    </row>
    <row r="22" spans="1:3" ht="16.5" thickTop="1" thickBot="1" x14ac:dyDescent="0.3">
      <c r="A22" s="20" t="s">
        <v>154</v>
      </c>
      <c r="B22" s="22"/>
      <c r="C22" s="41">
        <f>C14-C21</f>
        <v>15000</v>
      </c>
    </row>
    <row r="23" spans="1:3" ht="15.75" thickTop="1" x14ac:dyDescent="0.25">
      <c r="A23" s="21"/>
      <c r="B23" s="22"/>
      <c r="C23" s="36"/>
    </row>
    <row r="24" spans="1:3" x14ac:dyDescent="0.25">
      <c r="A24" s="20" t="s">
        <v>155</v>
      </c>
      <c r="B24" s="22"/>
      <c r="C24" s="22"/>
    </row>
    <row r="25" spans="1:3" x14ac:dyDescent="0.25">
      <c r="A25" s="20" t="s">
        <v>156</v>
      </c>
      <c r="B25" s="22"/>
      <c r="C25" s="22"/>
    </row>
    <row r="26" spans="1:3" x14ac:dyDescent="0.25">
      <c r="A26" s="21" t="s">
        <v>75</v>
      </c>
      <c r="B26" s="22">
        <v>20</v>
      </c>
      <c r="C26" s="22"/>
    </row>
    <row r="27" spans="1:3" x14ac:dyDescent="0.25">
      <c r="A27" s="21" t="s">
        <v>76</v>
      </c>
      <c r="B27" s="22">
        <v>50</v>
      </c>
      <c r="C27" s="22"/>
    </row>
    <row r="28" spans="1:3" x14ac:dyDescent="0.25">
      <c r="A28" s="21" t="s">
        <v>77</v>
      </c>
      <c r="B28" s="22">
        <v>100</v>
      </c>
      <c r="C28" s="22"/>
    </row>
    <row r="29" spans="1:3" x14ac:dyDescent="0.25">
      <c r="A29" s="21" t="s">
        <v>78</v>
      </c>
      <c r="B29" s="22">
        <v>50</v>
      </c>
      <c r="C29" s="22"/>
    </row>
    <row r="30" spans="1:3" x14ac:dyDescent="0.25">
      <c r="A30" s="21" t="s">
        <v>79</v>
      </c>
      <c r="B30" s="22">
        <v>20</v>
      </c>
      <c r="C30" s="22"/>
    </row>
    <row r="31" spans="1:3" x14ac:dyDescent="0.25">
      <c r="A31" s="21" t="s">
        <v>80</v>
      </c>
      <c r="B31" s="22">
        <v>50</v>
      </c>
      <c r="C31" s="22"/>
    </row>
    <row r="32" spans="1:3" x14ac:dyDescent="0.25">
      <c r="A32" s="21" t="s">
        <v>81</v>
      </c>
      <c r="B32" s="22">
        <v>20</v>
      </c>
      <c r="C32" s="22"/>
    </row>
    <row r="33" spans="1:3" x14ac:dyDescent="0.25">
      <c r="A33" s="11" t="s">
        <v>82</v>
      </c>
      <c r="B33" s="22">
        <v>100</v>
      </c>
      <c r="C33" s="22"/>
    </row>
    <row r="34" spans="1:3" x14ac:dyDescent="0.25">
      <c r="A34" s="11" t="s">
        <v>83</v>
      </c>
      <c r="B34" s="22">
        <v>500</v>
      </c>
      <c r="C34" s="22"/>
    </row>
    <row r="35" spans="1:3" x14ac:dyDescent="0.25">
      <c r="A35" s="11" t="s">
        <v>84</v>
      </c>
      <c r="B35" s="22">
        <v>65</v>
      </c>
      <c r="C35" s="22"/>
    </row>
    <row r="36" spans="1:3" x14ac:dyDescent="0.25">
      <c r="A36" s="11" t="s">
        <v>85</v>
      </c>
      <c r="B36" s="22">
        <v>75</v>
      </c>
      <c r="C36" s="22"/>
    </row>
    <row r="37" spans="1:3" x14ac:dyDescent="0.25">
      <c r="A37" s="11" t="s">
        <v>86</v>
      </c>
      <c r="B37" s="22">
        <v>10</v>
      </c>
      <c r="C37" s="22"/>
    </row>
    <row r="38" spans="1:3" x14ac:dyDescent="0.25">
      <c r="A38" s="11" t="s">
        <v>87</v>
      </c>
      <c r="B38" s="22">
        <v>20</v>
      </c>
      <c r="C38" s="22"/>
    </row>
    <row r="39" spans="1:3" x14ac:dyDescent="0.25">
      <c r="A39" s="11" t="s">
        <v>88</v>
      </c>
      <c r="B39" s="22">
        <v>15</v>
      </c>
      <c r="C39" s="22"/>
    </row>
    <row r="40" spans="1:3" x14ac:dyDescent="0.25">
      <c r="A40" s="11" t="s">
        <v>89</v>
      </c>
      <c r="B40" s="22">
        <v>25</v>
      </c>
      <c r="C40" s="22"/>
    </row>
    <row r="41" spans="1:3" x14ac:dyDescent="0.25">
      <c r="A41" s="11" t="s">
        <v>90</v>
      </c>
      <c r="B41" s="22">
        <v>35</v>
      </c>
      <c r="C41" s="22"/>
    </row>
    <row r="42" spans="1:3" x14ac:dyDescent="0.25">
      <c r="A42" s="11" t="s">
        <v>91</v>
      </c>
      <c r="B42" s="22">
        <v>10</v>
      </c>
      <c r="C42" s="22"/>
    </row>
    <row r="43" spans="1:3" x14ac:dyDescent="0.25">
      <c r="A43" s="42" t="s">
        <v>92</v>
      </c>
      <c r="B43" s="22">
        <v>95</v>
      </c>
      <c r="C43" s="22"/>
    </row>
    <row r="44" spans="1:3" x14ac:dyDescent="0.25">
      <c r="A44" s="42" t="s">
        <v>93</v>
      </c>
      <c r="B44" s="22">
        <v>25</v>
      </c>
      <c r="C44" s="22"/>
    </row>
    <row r="45" spans="1:3" x14ac:dyDescent="0.25">
      <c r="A45" s="42" t="s">
        <v>94</v>
      </c>
      <c r="B45" s="22">
        <v>38</v>
      </c>
      <c r="C45" s="22"/>
    </row>
    <row r="46" spans="1:3" x14ac:dyDescent="0.25">
      <c r="A46" s="42" t="s">
        <v>95</v>
      </c>
      <c r="B46" s="22">
        <v>12</v>
      </c>
      <c r="C46" s="22"/>
    </row>
    <row r="47" spans="1:3" x14ac:dyDescent="0.25">
      <c r="A47" s="42" t="s">
        <v>96</v>
      </c>
      <c r="B47" s="22">
        <v>15</v>
      </c>
      <c r="C47" s="22"/>
    </row>
    <row r="48" spans="1:3" x14ac:dyDescent="0.25">
      <c r="A48" s="42" t="s">
        <v>97</v>
      </c>
      <c r="B48" s="22">
        <v>20</v>
      </c>
      <c r="C48" s="22"/>
    </row>
    <row r="49" spans="1:3" x14ac:dyDescent="0.25">
      <c r="A49" s="42" t="s">
        <v>98</v>
      </c>
      <c r="B49" s="22">
        <v>36</v>
      </c>
      <c r="C49" s="22"/>
    </row>
    <row r="50" spans="1:3" x14ac:dyDescent="0.25">
      <c r="A50" s="42" t="s">
        <v>99</v>
      </c>
      <c r="B50" s="22">
        <v>15</v>
      </c>
      <c r="C50" s="22"/>
    </row>
    <row r="51" spans="1:3" x14ac:dyDescent="0.25">
      <c r="A51" s="42" t="s">
        <v>100</v>
      </c>
      <c r="B51" s="22">
        <v>12</v>
      </c>
      <c r="C51" s="22"/>
    </row>
    <row r="52" spans="1:3" x14ac:dyDescent="0.25">
      <c r="A52" s="42" t="s">
        <v>101</v>
      </c>
      <c r="B52" s="22">
        <v>12</v>
      </c>
      <c r="C52" s="22"/>
    </row>
    <row r="53" spans="1:3" x14ac:dyDescent="0.25">
      <c r="A53" s="42" t="s">
        <v>102</v>
      </c>
      <c r="B53" s="22">
        <v>12</v>
      </c>
      <c r="C53" s="22"/>
    </row>
    <row r="54" spans="1:3" x14ac:dyDescent="0.25">
      <c r="A54" s="42" t="s">
        <v>103</v>
      </c>
      <c r="B54" s="22">
        <v>12</v>
      </c>
      <c r="C54" s="22"/>
    </row>
    <row r="55" spans="1:3" x14ac:dyDescent="0.25">
      <c r="A55" s="42" t="s">
        <v>104</v>
      </c>
      <c r="B55" s="22">
        <v>12</v>
      </c>
      <c r="C55" s="22"/>
    </row>
    <row r="56" spans="1:3" x14ac:dyDescent="0.25">
      <c r="A56" s="42" t="s">
        <v>105</v>
      </c>
      <c r="B56" s="22">
        <v>12</v>
      </c>
      <c r="C56" s="22"/>
    </row>
    <row r="57" spans="1:3" x14ac:dyDescent="0.25">
      <c r="A57" s="42" t="s">
        <v>106</v>
      </c>
      <c r="B57" s="22">
        <v>12</v>
      </c>
      <c r="C57" s="22"/>
    </row>
    <row r="58" spans="1:3" x14ac:dyDescent="0.25">
      <c r="A58" s="42" t="s">
        <v>107</v>
      </c>
      <c r="B58" s="22">
        <v>12</v>
      </c>
      <c r="C58" s="22"/>
    </row>
    <row r="59" spans="1:3" x14ac:dyDescent="0.25">
      <c r="A59" s="42" t="s">
        <v>108</v>
      </c>
      <c r="B59" s="22">
        <v>12</v>
      </c>
      <c r="C59" s="22"/>
    </row>
    <row r="60" spans="1:3" x14ac:dyDescent="0.25">
      <c r="A60" s="42" t="s">
        <v>109</v>
      </c>
      <c r="B60" s="22">
        <v>12</v>
      </c>
      <c r="C60" s="22"/>
    </row>
    <row r="61" spans="1:3" x14ac:dyDescent="0.25">
      <c r="A61" s="42" t="s">
        <v>110</v>
      </c>
      <c r="B61" s="22">
        <v>12</v>
      </c>
      <c r="C61" s="22"/>
    </row>
    <row r="62" spans="1:3" x14ac:dyDescent="0.25">
      <c r="A62" s="10" t="s">
        <v>111</v>
      </c>
      <c r="B62" s="22">
        <v>12</v>
      </c>
      <c r="C62" s="22"/>
    </row>
    <row r="63" spans="1:3" x14ac:dyDescent="0.25">
      <c r="A63" s="43" t="s">
        <v>112</v>
      </c>
      <c r="B63" s="22">
        <v>12</v>
      </c>
      <c r="C63" s="22"/>
    </row>
    <row r="64" spans="1:3" x14ac:dyDescent="0.25">
      <c r="A64" s="43" t="s">
        <v>121</v>
      </c>
      <c r="B64" s="22">
        <v>12</v>
      </c>
      <c r="C64" s="22"/>
    </row>
    <row r="65" spans="1:3" x14ac:dyDescent="0.25">
      <c r="A65" s="43" t="s">
        <v>122</v>
      </c>
      <c r="B65" s="22">
        <v>12</v>
      </c>
      <c r="C65" s="22"/>
    </row>
    <row r="66" spans="1:3" x14ac:dyDescent="0.25">
      <c r="A66" s="43" t="s">
        <v>123</v>
      </c>
      <c r="B66" s="22">
        <v>12</v>
      </c>
      <c r="C66" s="22"/>
    </row>
    <row r="67" spans="1:3" x14ac:dyDescent="0.25">
      <c r="A67" s="43" t="s">
        <v>126</v>
      </c>
      <c r="B67" s="22">
        <v>12</v>
      </c>
      <c r="C67" s="22"/>
    </row>
    <row r="68" spans="1:3" x14ac:dyDescent="0.25">
      <c r="A68" s="42" t="s">
        <v>124</v>
      </c>
      <c r="B68" s="22">
        <v>12</v>
      </c>
      <c r="C68" s="22"/>
    </row>
    <row r="69" spans="1:3" x14ac:dyDescent="0.25">
      <c r="A69" s="11" t="s">
        <v>130</v>
      </c>
      <c r="B69" s="22">
        <v>12</v>
      </c>
      <c r="C69" s="22"/>
    </row>
    <row r="70" spans="1:3" x14ac:dyDescent="0.25">
      <c r="A70" s="20" t="s">
        <v>161</v>
      </c>
      <c r="B70" s="22"/>
      <c r="C70" s="37">
        <f>SUM(B26:B69)</f>
        <v>1649</v>
      </c>
    </row>
    <row r="71" spans="1:3" x14ac:dyDescent="0.25">
      <c r="A71" s="21"/>
      <c r="B71" s="22"/>
      <c r="C71" s="22"/>
    </row>
    <row r="72" spans="1:3" x14ac:dyDescent="0.25">
      <c r="A72" s="20" t="s">
        <v>157</v>
      </c>
      <c r="B72" s="22"/>
      <c r="C72" s="22"/>
    </row>
    <row r="73" spans="1:3" x14ac:dyDescent="0.25">
      <c r="A73" s="11" t="s">
        <v>113</v>
      </c>
      <c r="B73" s="22">
        <v>20</v>
      </c>
      <c r="C73" s="22"/>
    </row>
    <row r="74" spans="1:3" x14ac:dyDescent="0.25">
      <c r="A74" s="11" t="s">
        <v>114</v>
      </c>
      <c r="B74" s="22">
        <v>20</v>
      </c>
      <c r="C74" s="22"/>
    </row>
    <row r="75" spans="1:3" x14ac:dyDescent="0.25">
      <c r="A75" s="11" t="s">
        <v>115</v>
      </c>
      <c r="B75" s="22">
        <v>20</v>
      </c>
      <c r="C75" s="22"/>
    </row>
    <row r="76" spans="1:3" x14ac:dyDescent="0.25">
      <c r="A76" s="11" t="s">
        <v>73</v>
      </c>
      <c r="B76" s="22">
        <v>20</v>
      </c>
      <c r="C76" s="22"/>
    </row>
    <row r="77" spans="1:3" x14ac:dyDescent="0.25">
      <c r="A77" s="11" t="s">
        <v>116</v>
      </c>
      <c r="B77" s="22">
        <v>20</v>
      </c>
      <c r="C77" s="22"/>
    </row>
    <row r="78" spans="1:3" x14ac:dyDescent="0.25">
      <c r="A78" s="20" t="s">
        <v>162</v>
      </c>
      <c r="B78" s="22"/>
      <c r="C78" s="37">
        <f>SUM(B73:B77)</f>
        <v>100</v>
      </c>
    </row>
    <row r="79" spans="1:3" x14ac:dyDescent="0.25">
      <c r="A79" s="20" t="s">
        <v>158</v>
      </c>
      <c r="B79" s="22"/>
      <c r="C79" s="22"/>
    </row>
    <row r="80" spans="1:3" x14ac:dyDescent="0.25">
      <c r="A80" s="11" t="s">
        <v>117</v>
      </c>
      <c r="B80" s="22">
        <v>10</v>
      </c>
      <c r="C80" s="22"/>
    </row>
    <row r="81" spans="1:3" x14ac:dyDescent="0.25">
      <c r="A81" s="11" t="s">
        <v>119</v>
      </c>
      <c r="B81" s="22">
        <v>10</v>
      </c>
      <c r="C81" s="22"/>
    </row>
    <row r="82" spans="1:3" x14ac:dyDescent="0.25">
      <c r="A82" s="11" t="s">
        <v>120</v>
      </c>
      <c r="B82" s="22">
        <v>10</v>
      </c>
      <c r="C82" s="22"/>
    </row>
    <row r="83" spans="1:3" x14ac:dyDescent="0.25">
      <c r="A83" s="11" t="s">
        <v>117</v>
      </c>
      <c r="B83" s="22">
        <v>10</v>
      </c>
      <c r="C83" s="22"/>
    </row>
    <row r="84" spans="1:3" x14ac:dyDescent="0.25">
      <c r="A84" s="11" t="s">
        <v>119</v>
      </c>
      <c r="B84" s="22">
        <v>10</v>
      </c>
      <c r="C84" s="22"/>
    </row>
    <row r="85" spans="1:3" x14ac:dyDescent="0.25">
      <c r="A85" s="11" t="s">
        <v>120</v>
      </c>
      <c r="B85" s="22">
        <v>10</v>
      </c>
      <c r="C85" s="37">
        <f>SUM(B80:B85)</f>
        <v>60</v>
      </c>
    </row>
    <row r="86" spans="1:3" ht="15.75" thickBot="1" x14ac:dyDescent="0.3">
      <c r="A86" s="20" t="s">
        <v>163</v>
      </c>
      <c r="B86" s="22"/>
      <c r="C86" s="40">
        <f>SUM(C26:C85)</f>
        <v>1809</v>
      </c>
    </row>
    <row r="87" spans="1:3" ht="15.75" thickTop="1" x14ac:dyDescent="0.25">
      <c r="A87" s="20" t="s">
        <v>159</v>
      </c>
      <c r="B87" s="22"/>
      <c r="C87" s="36">
        <f>C22-C86</f>
        <v>13191</v>
      </c>
    </row>
    <row r="88" spans="1:3" x14ac:dyDescent="0.25">
      <c r="A88" s="20" t="s">
        <v>160</v>
      </c>
      <c r="B88" s="22"/>
      <c r="C88" s="22">
        <v>1000</v>
      </c>
    </row>
    <row r="89" spans="1:3" ht="15.75" thickBot="1" x14ac:dyDescent="0.3">
      <c r="A89" s="20" t="s">
        <v>142</v>
      </c>
      <c r="B89" s="22"/>
      <c r="C89" s="40">
        <f>C87-C88</f>
        <v>12191</v>
      </c>
    </row>
    <row r="90" spans="1:3" ht="15.75" thickTop="1" x14ac:dyDescent="0.25">
      <c r="A90" s="21"/>
      <c r="B90" s="22"/>
      <c r="C9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Drafted CA</vt:lpstr>
      <vt:lpstr>BALANCE SHEET </vt:lpstr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2026-09-07T07:06:41Z</cp:lastPrinted>
  <dcterms:created xsi:type="dcterms:W3CDTF">2026-08-01T07:08:06Z</dcterms:created>
  <dcterms:modified xsi:type="dcterms:W3CDTF">2026-10-25T10:06:10Z</dcterms:modified>
</cp:coreProperties>
</file>